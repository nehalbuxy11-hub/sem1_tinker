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L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I15" i="1"/>
  <c r="I16" i="1"/>
  <c r="I17" i="1"/>
  <c r="I18" i="1"/>
  <c r="I19" i="1"/>
  <c r="L19" i="1" s="1"/>
  <c r="I20" i="1"/>
  <c r="L20" i="1" s="1"/>
  <c r="I21" i="1"/>
  <c r="L21" i="1" s="1"/>
  <c r="L3" i="1"/>
  <c r="L4" i="1"/>
  <c r="L5" i="1"/>
  <c r="L6" i="1"/>
  <c r="L14" i="1"/>
  <c r="L15" i="1"/>
  <c r="L16" i="1"/>
  <c r="L17" i="1"/>
  <c r="L18" i="1"/>
  <c r="L2" i="1"/>
  <c r="M3" i="1"/>
  <c r="M4" i="1"/>
  <c r="M5" i="1"/>
  <c r="M6" i="1"/>
  <c r="M14" i="1"/>
  <c r="M15" i="1"/>
  <c r="K3" i="1"/>
  <c r="K4" i="1"/>
  <c r="K5" i="1"/>
  <c r="K6" i="1"/>
  <c r="K7" i="1"/>
  <c r="M7" i="1" s="1"/>
  <c r="K8" i="1"/>
  <c r="M8" i="1" s="1"/>
  <c r="K9" i="1"/>
  <c r="M9" i="1" s="1"/>
  <c r="K10" i="1"/>
  <c r="M10" i="1" s="1"/>
  <c r="K11" i="1"/>
  <c r="M11" i="1" s="1"/>
  <c r="K14" i="1"/>
  <c r="K15" i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L13" i="1" l="1"/>
  <c r="L12" i="1"/>
</calcChain>
</file>

<file path=xl/sharedStrings.xml><?xml version="1.0" encoding="utf-8"?>
<sst xmlns="http://schemas.openxmlformats.org/spreadsheetml/2006/main" count="53" uniqueCount="37">
  <si>
    <t>Name</t>
  </si>
  <si>
    <t>Maths</t>
  </si>
  <si>
    <t>Tinker</t>
  </si>
  <si>
    <t>Nano AR</t>
  </si>
  <si>
    <t>C Programming</t>
  </si>
  <si>
    <t>Physics</t>
  </si>
  <si>
    <t>Total</t>
  </si>
  <si>
    <t>Average</t>
  </si>
  <si>
    <t>Aarav Kumar</t>
  </si>
  <si>
    <t>Saanvi Sharma</t>
  </si>
  <si>
    <t>Vihaan Verma</t>
  </si>
  <si>
    <t>Anaya Patel</t>
  </si>
  <si>
    <t>Arjun Reddy</t>
  </si>
  <si>
    <t>Ishita Nair</t>
  </si>
  <si>
    <t>Kabir Joshi</t>
  </si>
  <si>
    <t>Meera Das</t>
  </si>
  <si>
    <t>Rohan Gupta</t>
  </si>
  <si>
    <t>Tara Singh</t>
  </si>
  <si>
    <t>Devansh Yadav</t>
  </si>
  <si>
    <t>Aanya Mehta</t>
  </si>
  <si>
    <t>Reyansh Bhatia</t>
  </si>
  <si>
    <t>Diya Iyer</t>
  </si>
  <si>
    <t>Krish Kapoor</t>
  </si>
  <si>
    <t>Nisha Jain</t>
  </si>
  <si>
    <t>Atharv Roy</t>
  </si>
  <si>
    <t>Ria Sengupta</t>
  </si>
  <si>
    <t>Om Mishra</t>
  </si>
  <si>
    <t>Priya Menon</t>
  </si>
  <si>
    <t>Grade</t>
  </si>
  <si>
    <t>A</t>
  </si>
  <si>
    <t>D</t>
  </si>
  <si>
    <t>B</t>
  </si>
  <si>
    <t>C</t>
  </si>
  <si>
    <t>PRN</t>
  </si>
  <si>
    <t>Distinction</t>
  </si>
  <si>
    <t>1st div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</si>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</sst>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N1" sqref="N1"/>
    </sheetView>
  </sheetViews>
  <sheetFormatPr defaultRowHeight="15" x14ac:dyDescent="0.25"/>
  <cols>
    <col min="2" max="2" width="14.28515625" customWidth="1"/>
    <col min="9" max="9" width="8.28515625" style="9" bestFit="1" customWidth="1"/>
    <col min="12" max="12" width="12.42578125" customWidth="1"/>
  </cols>
  <sheetData>
    <row r="1" spans="1:13" ht="45" x14ac:dyDescent="0.2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7" t="s">
        <v>28</v>
      </c>
      <c r="K1" s="1" t="s">
        <v>36</v>
      </c>
      <c r="L1" s="1" t="s">
        <v>34</v>
      </c>
      <c r="M1" s="3" t="s">
        <v>35</v>
      </c>
    </row>
    <row r="2" spans="1:13" x14ac:dyDescent="0.25">
      <c r="A2" s="2">
        <v>1101</v>
      </c>
      <c r="B2" s="2" t="s">
        <v>8</v>
      </c>
      <c r="C2" s="2">
        <v>90</v>
      </c>
      <c r="D2" s="2">
        <v>85</v>
      </c>
      <c r="E2" s="2">
        <v>95</v>
      </c>
      <c r="F2" s="2">
        <v>100</v>
      </c>
      <c r="G2" s="2">
        <v>90</v>
      </c>
      <c r="H2" s="6">
        <f>SUM(C2:G2)</f>
        <v>460</v>
      </c>
      <c r="I2" s="2">
        <f>AVERAGE(C2:G2)</f>
        <v>92</v>
      </c>
      <c r="J2" s="8" t="s">
        <v>29</v>
      </c>
      <c r="K2" s="2" t="str">
        <f>IF(AND(OR(J2="A", J2="B", J2="C"), I2&gt;65), "Pass", "Fail")</f>
        <v>Pass</v>
      </c>
      <c r="L2" s="2" t="str">
        <f>IF(I2&gt;75, "Yes", "No")</f>
        <v>Yes</v>
      </c>
      <c r="M2" s="5" t="str">
        <f>IF(AND(K2="Pass",I2&gt;=75,I2&lt;=100),"1st Div", " ")</f>
        <v>1st Div</v>
      </c>
    </row>
    <row r="3" spans="1:13" x14ac:dyDescent="0.25">
      <c r="A3" s="2">
        <v>1102</v>
      </c>
      <c r="B3" s="2" t="s">
        <v>9</v>
      </c>
      <c r="C3" s="2">
        <v>80</v>
      </c>
      <c r="D3" s="2">
        <v>75</v>
      </c>
      <c r="E3" s="2">
        <v>85</v>
      </c>
      <c r="F3" s="2">
        <v>90</v>
      </c>
      <c r="G3" s="2">
        <v>80</v>
      </c>
      <c r="H3" s="6">
        <f t="shared" ref="H3:H21" si="0">SUM(C3:G3)</f>
        <v>410</v>
      </c>
      <c r="I3" s="2">
        <f t="shared" ref="I3:I21" si="1">AVERAGE(C3:G3)</f>
        <v>82</v>
      </c>
      <c r="J3" s="8" t="s">
        <v>31</v>
      </c>
      <c r="K3" s="2" t="str">
        <f t="shared" ref="K3:K21" si="2">IF(AND(OR(J3="A", J3="B", J3="C"), I3&gt;65), "Pass", "Fail")</f>
        <v>Pass</v>
      </c>
      <c r="L3" s="2" t="str">
        <f t="shared" ref="L3:L21" si="3">IF(I3&gt;75, "Yes", "No")</f>
        <v>Yes</v>
      </c>
      <c r="M3" s="5" t="str">
        <f t="shared" ref="M3:M21" si="4">IF(AND(K3="Pass",I3&gt;=75,I3&lt;=100),"1st Div", " ")</f>
        <v>1st Div</v>
      </c>
    </row>
    <row r="4" spans="1:13" x14ac:dyDescent="0.25">
      <c r="A4" s="2">
        <v>1103</v>
      </c>
      <c r="B4" s="2" t="s">
        <v>10</v>
      </c>
      <c r="C4" s="2">
        <v>100</v>
      </c>
      <c r="D4" s="2">
        <v>95</v>
      </c>
      <c r="E4" s="2">
        <v>100</v>
      </c>
      <c r="F4" s="2">
        <v>95</v>
      </c>
      <c r="G4" s="2">
        <v>90</v>
      </c>
      <c r="H4" s="6">
        <f t="shared" si="0"/>
        <v>480</v>
      </c>
      <c r="I4" s="2">
        <f t="shared" si="1"/>
        <v>96</v>
      </c>
      <c r="J4" s="8" t="s">
        <v>29</v>
      </c>
      <c r="K4" s="2" t="str">
        <f t="shared" si="2"/>
        <v>Pass</v>
      </c>
      <c r="L4" s="2" t="str">
        <f t="shared" si="3"/>
        <v>Yes</v>
      </c>
      <c r="M4" s="5" t="str">
        <f t="shared" si="4"/>
        <v>1st Div</v>
      </c>
    </row>
    <row r="5" spans="1:13" x14ac:dyDescent="0.25">
      <c r="A5" s="2">
        <v>1104</v>
      </c>
      <c r="B5" s="2" t="s">
        <v>11</v>
      </c>
      <c r="C5" s="2">
        <v>70</v>
      </c>
      <c r="D5" s="2">
        <v>80</v>
      </c>
      <c r="E5" s="2">
        <v>75</v>
      </c>
      <c r="F5" s="2">
        <v>70</v>
      </c>
      <c r="G5" s="2">
        <v>75</v>
      </c>
      <c r="H5" s="6">
        <f t="shared" si="0"/>
        <v>370</v>
      </c>
      <c r="I5" s="2">
        <f t="shared" si="1"/>
        <v>74</v>
      </c>
      <c r="J5" s="8" t="s">
        <v>32</v>
      </c>
      <c r="K5" s="2" t="str">
        <f t="shared" si="2"/>
        <v>Pass</v>
      </c>
      <c r="L5" s="2" t="str">
        <f t="shared" si="3"/>
        <v>No</v>
      </c>
      <c r="M5" s="5" t="str">
        <f t="shared" si="4"/>
        <v xml:space="preserve"> </v>
      </c>
    </row>
    <row r="6" spans="1:13" x14ac:dyDescent="0.25">
      <c r="A6" s="2">
        <v>1105</v>
      </c>
      <c r="B6" s="2" t="s">
        <v>12</v>
      </c>
      <c r="C6" s="2">
        <v>95</v>
      </c>
      <c r="D6" s="2">
        <v>90</v>
      </c>
      <c r="E6" s="2">
        <v>90</v>
      </c>
      <c r="F6" s="2">
        <v>100</v>
      </c>
      <c r="G6" s="2">
        <v>95</v>
      </c>
      <c r="H6" s="6">
        <f t="shared" si="0"/>
        <v>470</v>
      </c>
      <c r="I6" s="2">
        <f t="shared" si="1"/>
        <v>94</v>
      </c>
      <c r="J6" s="8" t="s">
        <v>29</v>
      </c>
      <c r="K6" s="2" t="str">
        <f t="shared" si="2"/>
        <v>Pass</v>
      </c>
      <c r="L6" s="2" t="str">
        <f t="shared" si="3"/>
        <v>Yes</v>
      </c>
      <c r="M6" s="5" t="str">
        <f t="shared" si="4"/>
        <v>1st Div</v>
      </c>
    </row>
    <row r="7" spans="1:13" x14ac:dyDescent="0.25">
      <c r="A7" s="2">
        <v>1106</v>
      </c>
      <c r="B7" s="2" t="s">
        <v>13</v>
      </c>
      <c r="C7" s="2">
        <v>50</v>
      </c>
      <c r="D7" s="2">
        <v>60</v>
      </c>
      <c r="E7" s="2">
        <v>70</v>
      </c>
      <c r="F7" s="2">
        <v>65</v>
      </c>
      <c r="G7" s="2">
        <v>60</v>
      </c>
      <c r="H7" s="6">
        <f t="shared" si="0"/>
        <v>305</v>
      </c>
      <c r="I7" s="2">
        <f t="shared" si="1"/>
        <v>61</v>
      </c>
      <c r="J7" s="8" t="s">
        <v>30</v>
      </c>
      <c r="K7" s="2" t="str">
        <f t="shared" si="2"/>
        <v>Fail</v>
      </c>
      <c r="L7" s="2" t="str">
        <f t="shared" si="3"/>
        <v>No</v>
      </c>
      <c r="M7" s="5" t="str">
        <f t="shared" si="4"/>
        <v xml:space="preserve"> </v>
      </c>
    </row>
    <row r="8" spans="1:13" x14ac:dyDescent="0.25">
      <c r="A8" s="2">
        <v>1107</v>
      </c>
      <c r="B8" s="2" t="s">
        <v>14</v>
      </c>
      <c r="C8" s="2">
        <v>75</v>
      </c>
      <c r="D8" s="2">
        <v>70</v>
      </c>
      <c r="E8" s="2">
        <v>80</v>
      </c>
      <c r="F8" s="2">
        <v>75</v>
      </c>
      <c r="G8" s="2">
        <v>70</v>
      </c>
      <c r="H8" s="6">
        <f t="shared" si="0"/>
        <v>370</v>
      </c>
      <c r="I8" s="2">
        <f t="shared" si="1"/>
        <v>74</v>
      </c>
      <c r="J8" s="8" t="s">
        <v>32</v>
      </c>
      <c r="K8" s="2" t="str">
        <f t="shared" si="2"/>
        <v>Pass</v>
      </c>
      <c r="L8" s="2" t="str">
        <f t="shared" si="3"/>
        <v>No</v>
      </c>
      <c r="M8" s="5" t="str">
        <f t="shared" si="4"/>
        <v xml:space="preserve"> </v>
      </c>
    </row>
    <row r="9" spans="1:13" x14ac:dyDescent="0.25">
      <c r="A9" s="2">
        <v>1108</v>
      </c>
      <c r="B9" s="2" t="s">
        <v>15</v>
      </c>
      <c r="C9" s="2">
        <v>85</v>
      </c>
      <c r="D9" s="2">
        <v>80</v>
      </c>
      <c r="E9" s="2">
        <v>90</v>
      </c>
      <c r="F9" s="2">
        <v>95</v>
      </c>
      <c r="G9" s="2">
        <v>85</v>
      </c>
      <c r="H9" s="6">
        <f t="shared" si="0"/>
        <v>435</v>
      </c>
      <c r="I9" s="2">
        <f t="shared" si="1"/>
        <v>87</v>
      </c>
      <c r="J9" s="8" t="s">
        <v>31</v>
      </c>
      <c r="K9" s="2" t="str">
        <f t="shared" si="2"/>
        <v>Pass</v>
      </c>
      <c r="L9" s="2" t="str">
        <f t="shared" si="3"/>
        <v>Yes</v>
      </c>
      <c r="M9" s="5" t="str">
        <f t="shared" si="4"/>
        <v>1st Div</v>
      </c>
    </row>
    <row r="10" spans="1:13" x14ac:dyDescent="0.25">
      <c r="A10" s="2">
        <v>1109</v>
      </c>
      <c r="B10" s="2" t="s">
        <v>16</v>
      </c>
      <c r="C10" s="2">
        <v>100</v>
      </c>
      <c r="D10" s="2">
        <v>100</v>
      </c>
      <c r="E10" s="2">
        <v>55</v>
      </c>
      <c r="F10" s="2">
        <v>100</v>
      </c>
      <c r="G10" s="2">
        <v>100</v>
      </c>
      <c r="H10" s="6">
        <f t="shared" si="0"/>
        <v>455</v>
      </c>
      <c r="I10" s="2">
        <f t="shared" si="1"/>
        <v>91</v>
      </c>
      <c r="J10" s="8" t="s">
        <v>29</v>
      </c>
      <c r="K10" s="2" t="str">
        <f t="shared" si="2"/>
        <v>Pass</v>
      </c>
      <c r="L10" s="2" t="str">
        <f t="shared" si="3"/>
        <v>Yes</v>
      </c>
      <c r="M10" s="5" t="str">
        <f t="shared" si="4"/>
        <v>1st Div</v>
      </c>
    </row>
    <row r="11" spans="1:13" x14ac:dyDescent="0.25">
      <c r="A11" s="2">
        <v>1110</v>
      </c>
      <c r="B11" s="2" t="s">
        <v>17</v>
      </c>
      <c r="C11" s="2">
        <v>70</v>
      </c>
      <c r="D11" s="2">
        <v>65</v>
      </c>
      <c r="E11" s="2">
        <v>60</v>
      </c>
      <c r="F11" s="2">
        <v>75</v>
      </c>
      <c r="G11" s="2">
        <v>70</v>
      </c>
      <c r="H11" s="6">
        <f t="shared" si="0"/>
        <v>340</v>
      </c>
      <c r="I11" s="2">
        <f t="shared" si="1"/>
        <v>68</v>
      </c>
      <c r="J11" s="8" t="s">
        <v>30</v>
      </c>
      <c r="K11" s="2" t="str">
        <f t="shared" si="2"/>
        <v>Fail</v>
      </c>
      <c r="L11" s="2" t="str">
        <f t="shared" si="3"/>
        <v>No</v>
      </c>
      <c r="M11" s="5" t="str">
        <f t="shared" si="4"/>
        <v xml:space="preserve"> </v>
      </c>
    </row>
    <row r="12" spans="1:13" x14ac:dyDescent="0.25">
      <c r="A12" s="2">
        <v>1111</v>
      </c>
      <c r="B12" s="2" t="s">
        <v>18</v>
      </c>
      <c r="C12" s="2">
        <v>90</v>
      </c>
      <c r="D12" s="2">
        <v>85</v>
      </c>
      <c r="E12" s="2">
        <v>80</v>
      </c>
      <c r="F12" s="2">
        <v>90</v>
      </c>
      <c r="G12" s="2">
        <v>85</v>
      </c>
      <c r="H12" s="6">
        <f t="shared" si="0"/>
        <v>430</v>
      </c>
      <c r="I12" s="2">
        <f t="shared" si="1"/>
        <v>86</v>
      </c>
      <c r="J12" s="8" t="s">
        <v>31</v>
      </c>
      <c r="K12" s="2" t="str">
        <f t="shared" si="2"/>
        <v>Pass</v>
      </c>
      <c r="L12" s="2" t="str">
        <f t="shared" si="3"/>
        <v>Yes</v>
      </c>
      <c r="M12" s="5" t="str">
        <f t="shared" si="4"/>
        <v>1st Div</v>
      </c>
    </row>
    <row r="13" spans="1:13" x14ac:dyDescent="0.25">
      <c r="A13" s="2">
        <v>1112</v>
      </c>
      <c r="B13" s="2" t="s">
        <v>19</v>
      </c>
      <c r="C13" s="2">
        <v>65</v>
      </c>
      <c r="D13" s="2">
        <v>70</v>
      </c>
      <c r="E13" s="2">
        <v>65</v>
      </c>
      <c r="F13" s="2">
        <v>60</v>
      </c>
      <c r="G13" s="2">
        <v>75</v>
      </c>
      <c r="H13" s="6">
        <f t="shared" si="0"/>
        <v>335</v>
      </c>
      <c r="I13" s="2">
        <f t="shared" si="1"/>
        <v>67</v>
      </c>
      <c r="J13" s="8" t="s">
        <v>30</v>
      </c>
      <c r="K13" s="2" t="str">
        <f t="shared" si="2"/>
        <v>Fail</v>
      </c>
      <c r="L13" s="2" t="str">
        <f t="shared" si="3"/>
        <v>No</v>
      </c>
      <c r="M13" s="5" t="str">
        <f t="shared" si="4"/>
        <v xml:space="preserve"> </v>
      </c>
    </row>
    <row r="14" spans="1:13" ht="18.75" customHeight="1" x14ac:dyDescent="0.25">
      <c r="A14" s="2">
        <v>1113</v>
      </c>
      <c r="B14" s="2" t="s">
        <v>20</v>
      </c>
      <c r="C14" s="2">
        <v>80</v>
      </c>
      <c r="D14" s="2">
        <v>85</v>
      </c>
      <c r="E14" s="2">
        <v>75</v>
      </c>
      <c r="F14" s="2">
        <v>80</v>
      </c>
      <c r="G14" s="2">
        <v>85</v>
      </c>
      <c r="H14" s="6">
        <f t="shared" si="0"/>
        <v>405</v>
      </c>
      <c r="I14" s="2">
        <f t="shared" si="1"/>
        <v>81</v>
      </c>
      <c r="J14" s="8" t="s">
        <v>31</v>
      </c>
      <c r="K14" s="2" t="str">
        <f t="shared" si="2"/>
        <v>Pass</v>
      </c>
      <c r="L14" s="2" t="str">
        <f t="shared" si="3"/>
        <v>Yes</v>
      </c>
      <c r="M14" s="5" t="str">
        <f t="shared" si="4"/>
        <v>1st Div</v>
      </c>
    </row>
    <row r="15" spans="1:13" x14ac:dyDescent="0.25">
      <c r="A15" s="2">
        <v>1114</v>
      </c>
      <c r="B15" s="2" t="s">
        <v>21</v>
      </c>
      <c r="C15" s="2">
        <v>95</v>
      </c>
      <c r="D15" s="2">
        <v>100</v>
      </c>
      <c r="E15" s="2">
        <v>90</v>
      </c>
      <c r="F15" s="2">
        <v>95</v>
      </c>
      <c r="G15" s="2">
        <v>95</v>
      </c>
      <c r="H15" s="6">
        <f t="shared" si="0"/>
        <v>475</v>
      </c>
      <c r="I15" s="2">
        <f t="shared" si="1"/>
        <v>95</v>
      </c>
      <c r="J15" s="8" t="s">
        <v>29</v>
      </c>
      <c r="K15" s="2" t="str">
        <f t="shared" si="2"/>
        <v>Pass</v>
      </c>
      <c r="L15" s="2" t="str">
        <f t="shared" si="3"/>
        <v>Yes</v>
      </c>
      <c r="M15" s="5" t="str">
        <f t="shared" si="4"/>
        <v>1st Div</v>
      </c>
    </row>
    <row r="16" spans="1:13" x14ac:dyDescent="0.25">
      <c r="A16" s="2">
        <v>1115</v>
      </c>
      <c r="B16" s="2" t="s">
        <v>22</v>
      </c>
      <c r="C16" s="2">
        <v>60</v>
      </c>
      <c r="D16" s="2">
        <v>65</v>
      </c>
      <c r="E16" s="2">
        <v>60</v>
      </c>
      <c r="F16" s="2">
        <v>65</v>
      </c>
      <c r="G16" s="2">
        <v>55</v>
      </c>
      <c r="H16" s="6">
        <f t="shared" si="0"/>
        <v>305</v>
      </c>
      <c r="I16" s="2">
        <f t="shared" si="1"/>
        <v>61</v>
      </c>
      <c r="J16" s="8" t="s">
        <v>30</v>
      </c>
      <c r="K16" s="2" t="str">
        <f t="shared" si="2"/>
        <v>Fail</v>
      </c>
      <c r="L16" s="2" t="str">
        <f t="shared" si="3"/>
        <v>No</v>
      </c>
      <c r="M16" s="5" t="str">
        <f t="shared" si="4"/>
        <v xml:space="preserve"> </v>
      </c>
    </row>
    <row r="17" spans="1:13" x14ac:dyDescent="0.25">
      <c r="A17" s="2">
        <v>1116</v>
      </c>
      <c r="B17" s="2" t="s">
        <v>23</v>
      </c>
      <c r="C17" s="2">
        <v>75</v>
      </c>
      <c r="D17" s="2">
        <v>80</v>
      </c>
      <c r="E17" s="2">
        <v>70</v>
      </c>
      <c r="F17" s="2">
        <v>75</v>
      </c>
      <c r="G17" s="2">
        <v>75</v>
      </c>
      <c r="H17" s="6">
        <f t="shared" si="0"/>
        <v>375</v>
      </c>
      <c r="I17" s="2">
        <f t="shared" si="1"/>
        <v>75</v>
      </c>
      <c r="J17" s="8" t="s">
        <v>32</v>
      </c>
      <c r="K17" s="2" t="str">
        <f t="shared" si="2"/>
        <v>Pass</v>
      </c>
      <c r="L17" s="2" t="str">
        <f t="shared" si="3"/>
        <v>No</v>
      </c>
      <c r="M17" s="5" t="str">
        <f t="shared" si="4"/>
        <v>1st Div</v>
      </c>
    </row>
    <row r="18" spans="1:13" x14ac:dyDescent="0.25">
      <c r="A18" s="2">
        <v>1117</v>
      </c>
      <c r="B18" s="2" t="s">
        <v>24</v>
      </c>
      <c r="C18" s="2">
        <v>90</v>
      </c>
      <c r="D18" s="2">
        <v>85</v>
      </c>
      <c r="E18" s="2">
        <v>95</v>
      </c>
      <c r="F18" s="2">
        <v>90</v>
      </c>
      <c r="G18" s="2">
        <v>90</v>
      </c>
      <c r="H18" s="6">
        <f t="shared" si="0"/>
        <v>450</v>
      </c>
      <c r="I18" s="2">
        <f t="shared" si="1"/>
        <v>90</v>
      </c>
      <c r="J18" s="8" t="s">
        <v>29</v>
      </c>
      <c r="K18" s="2" t="str">
        <f t="shared" si="2"/>
        <v>Pass</v>
      </c>
      <c r="L18" s="2" t="str">
        <f t="shared" si="3"/>
        <v>Yes</v>
      </c>
      <c r="M18" s="5" t="str">
        <f t="shared" si="4"/>
        <v>1st Div</v>
      </c>
    </row>
    <row r="19" spans="1:13" x14ac:dyDescent="0.25">
      <c r="A19" s="2">
        <v>1118</v>
      </c>
      <c r="B19" s="2" t="s">
        <v>25</v>
      </c>
      <c r="C19" s="2">
        <v>100</v>
      </c>
      <c r="D19" s="2">
        <v>95</v>
      </c>
      <c r="E19" s="2">
        <v>100</v>
      </c>
      <c r="F19" s="2">
        <v>95</v>
      </c>
      <c r="G19" s="2">
        <v>100</v>
      </c>
      <c r="H19" s="6">
        <f t="shared" si="0"/>
        <v>490</v>
      </c>
      <c r="I19" s="2">
        <f t="shared" si="1"/>
        <v>98</v>
      </c>
      <c r="J19" s="8" t="s">
        <v>29</v>
      </c>
      <c r="K19" s="2" t="str">
        <f t="shared" si="2"/>
        <v>Pass</v>
      </c>
      <c r="L19" s="2" t="str">
        <f t="shared" si="3"/>
        <v>Yes</v>
      </c>
      <c r="M19" s="5" t="str">
        <f t="shared" si="4"/>
        <v>1st Div</v>
      </c>
    </row>
    <row r="20" spans="1:13" x14ac:dyDescent="0.25">
      <c r="A20" s="2">
        <v>1119</v>
      </c>
      <c r="B20" s="2" t="s">
        <v>26</v>
      </c>
      <c r="C20" s="2">
        <v>70</v>
      </c>
      <c r="D20" s="2">
        <v>75</v>
      </c>
      <c r="E20" s="2">
        <v>65</v>
      </c>
      <c r="F20" s="2">
        <v>70</v>
      </c>
      <c r="G20" s="2">
        <v>70</v>
      </c>
      <c r="H20" s="6">
        <f t="shared" si="0"/>
        <v>350</v>
      </c>
      <c r="I20" s="2">
        <f t="shared" si="1"/>
        <v>70</v>
      </c>
      <c r="J20" s="8" t="s">
        <v>32</v>
      </c>
      <c r="K20" s="2" t="str">
        <f t="shared" si="2"/>
        <v>Pass</v>
      </c>
      <c r="L20" s="2" t="str">
        <f t="shared" si="3"/>
        <v>No</v>
      </c>
      <c r="M20" s="5" t="str">
        <f t="shared" si="4"/>
        <v xml:space="preserve"> </v>
      </c>
    </row>
    <row r="21" spans="1:13" x14ac:dyDescent="0.25">
      <c r="A21" s="2">
        <v>1120</v>
      </c>
      <c r="B21" s="2" t="s">
        <v>27</v>
      </c>
      <c r="C21" s="2">
        <v>85</v>
      </c>
      <c r="D21" s="2">
        <v>80</v>
      </c>
      <c r="E21" s="2">
        <v>90</v>
      </c>
      <c r="F21" s="2">
        <v>85</v>
      </c>
      <c r="G21" s="2">
        <v>90</v>
      </c>
      <c r="H21" s="6">
        <f t="shared" si="0"/>
        <v>430</v>
      </c>
      <c r="I21" s="2">
        <f t="shared" si="1"/>
        <v>86</v>
      </c>
      <c r="J21" s="8" t="s">
        <v>31</v>
      </c>
      <c r="K21" s="2" t="str">
        <f t="shared" si="2"/>
        <v>Pass</v>
      </c>
      <c r="L21" s="2" t="str">
        <f t="shared" si="3"/>
        <v>Yes</v>
      </c>
      <c r="M21" s="5" t="str">
        <f t="shared" si="4"/>
        <v>1st Div</v>
      </c>
    </row>
  </sheetData>
  <conditionalFormatting sqref="K2:K21">
    <cfRule type="containsText" dxfId="3" priority="7" operator="containsText" text="Pass">
      <formula>NOT(ISERROR(SEARCH("Pass",K2)))</formula>
    </cfRule>
    <cfRule type="containsText" dxfId="2" priority="6" operator="containsText" text="Fail">
      <formula>NOT(ISERROR(SEARCH("Fail",K2)))</formula>
    </cfRule>
    <cfRule type="containsText" dxfId="1" priority="5" operator="containsText" text="Pass">
      <formula>NOT(ISERROR(SEARCH("Pass",K2)))</formula>
    </cfRule>
  </conditionalFormatting>
  <conditionalFormatting sqref="K2:K21">
    <cfRule type="containsText" dxfId="0" priority="4" operator="containsText" text="Pass">
      <formula>NOT(ISERROR(SEARCH("Pass",K2)))</formula>
    </cfRule>
  </conditionalFormatting>
  <conditionalFormatting sqref="M2:M21">
    <cfRule type="cellIs" dxfId="12" priority="3" operator="equal">
      <formula>"1st Div"</formula>
    </cfRule>
  </conditionalFormatting>
  <conditionalFormatting sqref="L2:L21">
    <cfRule type="containsText" dxfId="4" priority="2" operator="containsText" text="Yes">
      <formula>NOT(ISERROR(SEARCH("Yes",L2)))</formula>
    </cfRule>
    <cfRule type="cellIs" dxfId="5" priority="1" operator="equal">
      <formula>"No"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2025-10-09T04:47:18Z</dcterms:modified>
</cp:coreProperties>
</file>